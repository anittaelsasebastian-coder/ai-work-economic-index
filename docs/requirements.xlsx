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takeholders" sheetId="2" state="visible" r:id="rId4"/>
    <sheet name="Requirements" sheetId="3" state="visible" r:id="rId5"/>
    <sheet name="User Stories" sheetId="4" state="visible" r:id="rId6"/>
    <sheet name="KPI Definitions" sheetId="5" state="visible" r:id="rId7"/>
    <sheet name="Assumptions" sheetId="6" state="visible" r:id="rId8"/>
    <sheet name="Traceabilit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<sst xmlns="http://schemas.openxmlformats.org/spreadsheetml/2006/main" count="314" uniqueCount="220">
  <si>
    <t xml:space="preserve">AI Adoption and Workforce Planning — Requirements Workbook</t>
  </si>
  <si>
    <t xml:space="preserve">Version 1.0 · November 2026 · Stakeholder is hypothetical; data is public (Anthropic Economic Index, CC-BY 4.0).</t>
  </si>
  <si>
    <t xml:space="preserve">How to use</t>
  </si>
  <si>
    <t xml:space="preserve">• Each sheet is one BA artefact: Stakeholders, Requirements, User Stories, KPI Definitions, Assumptions, Traceability.</t>
  </si>
  <si>
    <t xml:space="preserve">• Yellow cells on Traceability (Result) are yours to update: set Pass or Fail after checking each item in Power BI.</t>
  </si>
  <si>
    <t xml:space="preserve">• Dropdowns keep priority, status and result values consistent.</t>
  </si>
  <si>
    <t xml:space="preserve">• The summary below updates automatically from the other sheets.</t>
  </si>
  <si>
    <t xml:space="preserve">Summary</t>
  </si>
  <si>
    <t xml:space="preserve">Must requirements</t>
  </si>
  <si>
    <t xml:space="preserve">Should requirements</t>
  </si>
  <si>
    <t xml:space="preserve">Could requirements</t>
  </si>
  <si>
    <t xml:space="preserve">Won't (out of scope)</t>
  </si>
  <si>
    <t xml:space="preserve">Traceability checks passed</t>
  </si>
  <si>
    <t xml:space="preserve">Traceability checks failed</t>
  </si>
  <si>
    <t xml:space="preserve">Traceability checks not tested</t>
  </si>
  <si>
    <t xml:space="preserve">Unvalidated assumptions</t>
  </si>
  <si>
    <t xml:space="preserve">Stakeholder</t>
  </si>
  <si>
    <t xml:space="preserve">Role in the decision</t>
  </si>
  <si>
    <t xml:space="preserve">Interest</t>
  </si>
  <si>
    <t xml:space="preserve">Influence</t>
  </si>
  <si>
    <t xml:space="preserve">Engagement approach</t>
  </si>
  <si>
    <t xml:space="preserve">What they need from the project</t>
  </si>
  <si>
    <t xml:space="preserve">L&amp;D Manager</t>
  </si>
  <si>
    <t xml:space="preserve">Decision owner; owns training budget</t>
  </si>
  <si>
    <t xml:space="preserve">High</t>
  </si>
  <si>
    <t xml:space="preserve">Manage closely</t>
  </si>
  <si>
    <t xml:space="preserve">Ranked shortlist of 3 role–task pilots with evidence and cautions</t>
  </si>
  <si>
    <t xml:space="preserve">Leadership sponsor</t>
  </si>
  <si>
    <t xml:space="preserve">Approves budget and pilot</t>
  </si>
  <si>
    <t xml:space="preserve">Medium</t>
  </si>
  <si>
    <t xml:space="preserve">Keep satisfied</t>
  </si>
  <si>
    <t xml:space="preserve">One-page summary: why these 3, cost of pilot, how success is measured</t>
  </si>
  <si>
    <t xml:space="preserve">Team leads of shortlisted roles</t>
  </si>
  <si>
    <t xml:space="preserve">Run the pilot in their team</t>
  </si>
  <si>
    <t xml:space="preserve">Keep informed and involved</t>
  </si>
  <si>
    <t xml:space="preserve">Which task changes, time needed, how output quality is checked</t>
  </si>
  <si>
    <t xml:space="preserve">Employees in pilot roles</t>
  </si>
  <si>
    <t xml:space="preserve">Do the work that changes</t>
  </si>
  <si>
    <t xml:space="preserve">Low</t>
  </si>
  <si>
    <t xml:space="preserve">Keep informed</t>
  </si>
  <si>
    <t xml:space="preserve">Training, clear review steps, reassurance on role impact</t>
  </si>
  <si>
    <t xml:space="preserve">IT / Security</t>
  </si>
  <si>
    <t xml:space="preserve">Approves tool access and data handling</t>
  </si>
  <si>
    <t xml:space="preserve">Which AI tool, what data enters it, access controls</t>
  </si>
  <si>
    <t xml:space="preserve">Data Analyst (project author)</t>
  </si>
  <si>
    <t xml:space="preserve">Builds evidence and dashboard</t>
  </si>
  <si>
    <t xml:space="preserve">—</t>
  </si>
  <si>
    <t xml:space="preserve">Clear questions, agreed metrics, acceptance checks</t>
  </si>
  <si>
    <t xml:space="preserve">ID</t>
  </si>
  <si>
    <t xml:space="preserve">Type</t>
  </si>
  <si>
    <t xml:space="preserve">Requirement</t>
  </si>
  <si>
    <t xml:space="preserve">Priority (MoSCoW)</t>
  </si>
  <si>
    <t xml:space="preserve">Question</t>
  </si>
  <si>
    <t xml:space="preserve">Source</t>
  </si>
  <si>
    <t xml:space="preserve">BR-01</t>
  </si>
  <si>
    <t xml:space="preserve">Business</t>
  </si>
  <si>
    <t xml:space="preserve">The L&amp;D manager can identify three role–task combinations to investigate for AI training or a pilot.</t>
  </si>
  <si>
    <t xml:space="preserve">Must</t>
  </si>
  <si>
    <t xml:space="preserve">Q3</t>
  </si>
  <si>
    <t xml:space="preserve">Business brief §3</t>
  </si>
  <si>
    <t xml:space="preserve">FR-01</t>
  </si>
  <si>
    <t xml:space="preserve">Functional</t>
  </si>
  <si>
    <t xml:space="preserve">Dashboard shows the top tasks by AI usage share on Claude.ai.</t>
  </si>
  <si>
    <t xml:space="preserve">Q1</t>
  </si>
  <si>
    <t xml:space="preserve">Business brief §4</t>
  </si>
  <si>
    <t xml:space="preserve">FR-02</t>
  </si>
  <si>
    <t xml:space="preserve">User can filter occupations by SOC major group and inspect the tasks linked to each occupation.</t>
  </si>
  <si>
    <t xml:space="preserve">FR-03</t>
  </si>
  <si>
    <t xml:space="preserve">Dashboard compares Claude.ai and API usage: usage share and automation share by occupational group.</t>
  </si>
  <si>
    <t xml:space="preserve">Should</t>
  </si>
  <si>
    <t xml:space="preserve">Q2</t>
  </si>
  <si>
    <t xml:space="preserve">FR-04</t>
  </si>
  <si>
    <t xml:space="preserve">Pilot page shows each candidate's usage share, success rate and Core/Supplemental flag, plus the ranking rule in plain words.</t>
  </si>
  <si>
    <t xml:space="preserve">Business brief §5</t>
  </si>
  <si>
    <t xml:space="preserve">FR-05</t>
  </si>
  <si>
    <t xml:space="preserve">Pilot page shows the data limitations (one week, classifier-based, selection bias, privacy filter, US definitions).</t>
  </si>
  <si>
    <t xml:space="preserve">Business brief §10</t>
  </si>
  <si>
    <t xml:space="preserve">FR-06</t>
  </si>
  <si>
    <t xml:space="preserve">User can export the pilot shortlist table.</t>
  </si>
  <si>
    <t xml:space="preserve">Could</t>
  </si>
  <si>
    <t xml:space="preserve">Assumed L&amp;D need</t>
  </si>
  <si>
    <t xml:space="preserve">NFR-01</t>
  </si>
  <si>
    <t xml:space="preserve">Non-functional</t>
  </si>
  <si>
    <t xml:space="preserve">Every dashboard total reconciles with a saved SQL query.</t>
  </si>
  <si>
    <t xml:space="preserve">All</t>
  </si>
  <si>
    <t xml:space="preserve">Business brief §9</t>
  </si>
  <si>
    <t xml:space="preserve">NFR-02</t>
  </si>
  <si>
    <t xml:space="preserve">The pipeline reruns from the raw files with one command per step.</t>
  </si>
  <si>
    <t xml:space="preserve">Portfolio reproducibility</t>
  </si>
  <si>
    <t xml:space="preserve">NFR-03</t>
  </si>
  <si>
    <t xml:space="preserve">Data sources and CC-BY licence are credited in the dashboard and README.</t>
  </si>
  <si>
    <t xml:space="preserve">Dataset licence</t>
  </si>
  <si>
    <t xml:space="preserve">OUT-01</t>
  </si>
  <si>
    <t xml:space="preserve">Out of scope</t>
  </si>
  <si>
    <t xml:space="preserve">Country-level comparisons and regressions.</t>
  </si>
  <si>
    <t xml:space="preserve">Won't</t>
  </si>
  <si>
    <t xml:space="preserve">Business brief §7</t>
  </si>
  <si>
    <t xml:space="preserve">OUT-02</t>
  </si>
  <si>
    <t xml:space="preserve">Forecasting, predictive models and job-displacement estimates.</t>
  </si>
  <si>
    <t xml:space="preserve">Story ID</t>
  </si>
  <si>
    <t xml:space="preserve">As a…</t>
  </si>
  <si>
    <t xml:space="preserve">I want…</t>
  </si>
  <si>
    <t xml:space="preserve">So that…</t>
  </si>
  <si>
    <t xml:space="preserve">Acceptance criteria (Given / When / Then)</t>
  </si>
  <si>
    <t xml:space="preserve">Linked requirement</t>
  </si>
  <si>
    <t xml:space="preserve">US-01</t>
  </si>
  <si>
    <t xml:space="preserve">L&amp;D manager</t>
  </si>
  <si>
    <t xml:space="preserve">to see which tasks people use AI for most</t>
  </si>
  <si>
    <t xml:space="preserve">I know where demand for AI support already exists</t>
  </si>
  <si>
    <t xml:space="preserve">Given the AI usage overview page, when it loads, then the top 10 tasks are shown with usage share, and their total matches q1_usage_by_task.sql.</t>
  </si>
  <si>
    <t xml:space="preserve">US-02</t>
  </si>
  <si>
    <t xml:space="preserve">to filter by occupational group and see each occupation's tasks</t>
  </si>
  <si>
    <t xml:space="preserve">I can relate the evidence to roles in my organisation</t>
  </si>
  <si>
    <t xml:space="preserve">Given the Roles and tasks page, when I select a SOC major group, then only occupations in that group are listed, and the task count matches q1_usage_by_occupation.sql.</t>
  </si>
  <si>
    <t xml:space="preserve">US-03</t>
  </si>
  <si>
    <t xml:space="preserve">to compare consumer and business AI use</t>
  </si>
  <si>
    <t xml:space="preserve">I can tell tasks people try by hand from tasks businesses already automate</t>
  </si>
  <si>
    <t xml:space="preserve">Given the Roles and tasks page, when I view the platform comparison, then usage and automation share are shown for both platforms per group, matching q2_platform_comparison.sql.</t>
  </si>
  <si>
    <t xml:space="preserve">US-04</t>
  </si>
  <si>
    <t xml:space="preserve">a shortlist of three pilot candidates with reasons and cautions</t>
  </si>
  <si>
    <t xml:space="preserve">I can propose a pilot to leadership with confidence</t>
  </si>
  <si>
    <t xml:space="preserve">Given the Pilot opportunities page, when it loads, then three role–task cards show usage share, success rate, Core flag and a caution, and the ranking rule is stated.</t>
  </si>
  <si>
    <t xml:space="preserve">BR-01, FR-04, FR-05</t>
  </si>
  <si>
    <t xml:space="preserve">KPI</t>
  </si>
  <si>
    <t xml:space="preserve">Definition / formula</t>
  </si>
  <si>
    <t xml:space="preserve">Source query (planned)</t>
  </si>
  <si>
    <t xml:space="preserve">Owner</t>
  </si>
  <si>
    <t xml:space="preserve">Decision it informs</t>
  </si>
  <si>
    <t xml:space="preserve">Status</t>
  </si>
  <si>
    <t xml:space="preserve">Usage share</t>
  </si>
  <si>
    <t xml:space="preserve">Records mapped to a task ÷ all task-mapped records, per platform</t>
  </si>
  <si>
    <t xml:space="preserve">q1_usage_by_task.sql</t>
  </si>
  <si>
    <t xml:space="preserve">Data Analyst</t>
  </si>
  <si>
    <t xml:space="preserve">Where AI demand exists</t>
  </si>
  <si>
    <t xml:space="preserve">Confirmed</t>
  </si>
  <si>
    <t xml:space="preserve">Collaboration mix</t>
  </si>
  <si>
    <t xml:space="preserve">Share of directive, feedback loop, task iteration, learning, validation</t>
  </si>
  <si>
    <t xml:space="preserve">q2_platform_comparison.sql</t>
  </si>
  <si>
    <t xml:space="preserve">How people work with AI on a task</t>
  </si>
  <si>
    <t xml:space="preserve">Automation share</t>
  </si>
  <si>
    <t xml:space="preserve">(Directive + feedback loop) ÷ classified records</t>
  </si>
  <si>
    <t xml:space="preserve">Whether a task is already delegated to AI</t>
  </si>
  <si>
    <t xml:space="preserve">Task success rate</t>
  </si>
  <si>
    <t xml:space="preserve">Yes ÷ (yes + no) per task; not_classified excluded from the denominator</t>
  </si>
  <si>
    <t xml:space="preserve">q3_pilot_candidates.sql</t>
  </si>
  <si>
    <t xml:space="preserve">Whether AI is reliable enough for a pilot</t>
  </si>
  <si>
    <t xml:space="preserve">Core task flag</t>
  </si>
  <si>
    <t xml:space="preserve">O*NET Task Type = Core for the occupation</t>
  </si>
  <si>
    <t xml:space="preserve">Whether the task matters to the role</t>
  </si>
  <si>
    <t xml:space="preserve">Speedup</t>
  </si>
  <si>
    <t xml:space="preserve">Human-only time ÷ human-with-AI time per task (Claude's estimates)</t>
  </si>
  <si>
    <t xml:space="preserve">How much time AI could save on a task</t>
  </si>
  <si>
    <t xml:space="preserve">Assumption</t>
  </si>
  <si>
    <t xml:space="preserve">How a real team would validate it</t>
  </si>
  <si>
    <t xml:space="preserve">Impact if wrong</t>
  </si>
  <si>
    <t xml:space="preserve">A-01</t>
  </si>
  <si>
    <t xml:space="preserve">The organisation has roles similar to the shortlisted US occupations</t>
  </si>
  <si>
    <t xml:space="preserve">Unvalidated</t>
  </si>
  <si>
    <t xml:space="preserve">Map shortlisted occupations to internal job titles with HR</t>
  </si>
  <si>
    <t xml:space="preserve">Shortlist may not apply</t>
  </si>
  <si>
    <t xml:space="preserve">A-02</t>
  </si>
  <si>
    <t xml:space="preserve">A pilot can run for 6–8 weeks with one team</t>
  </si>
  <si>
    <t xml:space="preserve">Confirm with team lead and IT</t>
  </si>
  <si>
    <t xml:space="preserve">Pilot scope must shrink</t>
  </si>
  <si>
    <t xml:space="preserve">A-03</t>
  </si>
  <si>
    <t xml:space="preserve">Time per task and error rate can be measured before and after the pilot</t>
  </si>
  <si>
    <t xml:space="preserve">Agree a baseline measurement with the team lead</t>
  </si>
  <si>
    <t xml:space="preserve">Success cannot be proven</t>
  </si>
  <si>
    <t xml:space="preserve">A-04</t>
  </si>
  <si>
    <t xml:space="preserve">Classifier-judged task success is a reasonable proxy for real success</t>
  </si>
  <si>
    <t xml:space="preserve">Partly checked</t>
  </si>
  <si>
    <t xml:space="preserve">Anthropic reports directional accuracy; a pilot would measure real outcomes</t>
  </si>
  <si>
    <t xml:space="preserve">Pilot candidates may underperform</t>
  </si>
  <si>
    <t xml:space="preserve">A-05</t>
  </si>
  <si>
    <t xml:space="preserve">One week of usage (13–20 Nov 2025) is representative</t>
  </si>
  <si>
    <t xml:space="preserve">Compare with another AEI release in a later version</t>
  </si>
  <si>
    <t xml:space="preserve">Rankings may shift over time</t>
  </si>
  <si>
    <t xml:space="preserve">A-06</t>
  </si>
  <si>
    <t xml:space="preserve">Success rate = yes ÷ (yes + no); conversations not classified for success are excluded</t>
  </si>
  <si>
    <t xml:space="preserve">Decided</t>
  </si>
  <si>
    <t xml:space="preserve">Compare rankings with and without not_classified in the denominator</t>
  </si>
  <si>
    <t xml:space="preserve">Success rates shift for tasks with many unclassified conversations</t>
  </si>
  <si>
    <t xml:space="preserve">A-07</t>
  </si>
  <si>
    <t xml:space="preserve">When one task belongs to several occupations, its usage is split equally between them</t>
  </si>
  <si>
    <t xml:space="preserve">Weight the split by O*NET task importance in a later version</t>
  </si>
  <si>
    <t xml:space="preserve">Occupation totals shift slightly</t>
  </si>
  <si>
    <t xml:space="preserve">A-08</t>
  </si>
  <si>
    <t xml:space="preserve">Major group is derived from the first two digits of the occupation code (valid for SOC 2010 and 2019); minor groups only for SOC 2019 codes</t>
  </si>
  <si>
    <t xml:space="preserve">Validated</t>
  </si>
  <si>
    <t xml:space="preserve">Major-group shares reproduce Anthropic's published figures</t>
  </si>
  <si>
    <t xml:space="preserve">Minor-group views cover only 60% of Claude.ai usage</t>
  </si>
  <si>
    <t xml:space="preserve">A-09</t>
  </si>
  <si>
    <t xml:space="preserve">none / not_classified tasks stay in usage totals but are excluded from rankings</t>
  </si>
  <si>
    <t xml:space="preserve">Top-10 share reproduces Anthropic's 24% / 32% with this rule</t>
  </si>
  <si>
    <t xml:space="preserve">Rankings would include non-tasks</t>
  </si>
  <si>
    <t xml:space="preserve">Requirement ID</t>
  </si>
  <si>
    <t xml:space="preserve">SQL query</t>
  </si>
  <si>
    <t xml:space="preserve">Power BI page / visual</t>
  </si>
  <si>
    <t xml:space="preserve">Acceptance check</t>
  </si>
  <si>
    <t xml:space="preserve">Result</t>
  </si>
  <si>
    <t xml:space="preserve">Priority (from Requirements)</t>
  </si>
  <si>
    <t xml:space="preserve">Pilot opportunities</t>
  </si>
  <si>
    <t xml:space="preserve">Three candidates shown with evidence and cautions</t>
  </si>
  <si>
    <t xml:space="preserve">Not tested</t>
  </si>
  <si>
    <t xml:space="preserve">AI usage overview</t>
  </si>
  <si>
    <t xml:space="preserve">Top 10 total in Power BI = query total</t>
  </si>
  <si>
    <t xml:space="preserve">q1_usage_by_occupation.sql</t>
  </si>
  <si>
    <t xml:space="preserve">Roles and tasks</t>
  </si>
  <si>
    <t xml:space="preserve">Group filter shows only that group; counts match query</t>
  </si>
  <si>
    <t xml:space="preserve">Platform figures match query per group</t>
  </si>
  <si>
    <t xml:space="preserve">Each card shows usage, success, Core flag; rule stated</t>
  </si>
  <si>
    <t xml:space="preserve">Limitations note visible on the page</t>
  </si>
  <si>
    <t xml:space="preserve">Shortlist table can be exported</t>
  </si>
  <si>
    <t xml:space="preserve">checks_reconciliation.sql</t>
  </si>
  <si>
    <t xml:space="preserve">All pages</t>
  </si>
  <si>
    <t xml:space="preserve">All reconciliation queries match dashboard totals</t>
  </si>
  <si>
    <t xml:space="preserve">src/ scripts</t>
  </si>
  <si>
    <t xml:space="preserve">Fresh clone reproduces processed files and query outputs</t>
  </si>
  <si>
    <t xml:space="preserve">All pages + README</t>
  </si>
  <si>
    <t xml:space="preserve">Anthropic EconomicIndex credited with CC-BY 4.0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</si>
</sst>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6" t="s">
        <v>8</v>
      </c>
      <c r="B11" s="6" t="n">
        <f aca="false">COUNTIF(Requirements!D:D,"Must")</f>
        <v>7</v>
      </c>
    </row>
    <row r="12" customFormat="false" ht="15" hidden="false" customHeight="true" outlineLevel="0" collapsed="false">
      <c r="A12" s="6" t="s">
        <v>9</v>
      </c>
      <c r="B12" s="6" t="n">
        <f aca="false">COUNTIF(Requirements!D:D,"Should")</f>
        <v>2</v>
      </c>
    </row>
    <row r="13" customFormat="false" ht="15" hidden="false" customHeight="true" outlineLevel="0" collapsed="false">
      <c r="A13" s="6" t="s">
        <v>10</v>
      </c>
      <c r="B13" s="6" t="n">
        <f aca="false">COUNTIF(Requirements!D:D,"Could")</f>
        <v>1</v>
      </c>
    </row>
    <row r="14" customFormat="false" ht="15" hidden="false" customHeight="true" outlineLevel="0" collapsed="false">
      <c r="A14" s="6" t="s">
        <v>11</v>
      </c>
      <c r="B14" s="6" t="n">
        <f aca="false">COUNTIF(Requirements!D:D,"Won't")</f>
        <v>2</v>
      </c>
    </row>
    <row r="15" customFormat="false" ht="15" hidden="false" customHeight="true" outlineLevel="0" collapsed="false">
      <c r="A15" s="6" t="s">
        <v>12</v>
      </c>
      <c r="B15" s="6" t="n">
        <f aca="false">COUNTIF(Traceability!E:E,"Pass")</f>
        <v>0</v>
      </c>
    </row>
    <row r="16" customFormat="false" ht="15" hidden="false" customHeight="true" outlineLevel="0" collapsed="false">
      <c r="A16" s="6" t="s">
        <v>13</v>
      </c>
      <c r="B16" s="6" t="n">
        <f aca="false">COUNTIF(Traceability!E:E,"Fail")</f>
        <v>0</v>
      </c>
    </row>
    <row r="17" customFormat="false" ht="15" hidden="false" customHeight="true" outlineLevel="0" collapsed="false">
      <c r="A17" s="6" t="s">
        <v>14</v>
      </c>
      <c r="B17" s="6" t="n">
        <f aca="false">COUNTIF(Traceability!E:E,"Not tested")</f>
        <v>10</v>
      </c>
    </row>
    <row r="18" customFormat="false" ht="15" hidden="false" customHeight="true" outlineLevel="0" collapsed="false">
      <c r="A18" s="6" t="s">
        <v>15</v>
      </c>
      <c r="B18" s="6" t="n">
        <f aca="false">COUNTIF(Assumptions!C:C,"Unvalidated")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4"/>
    <col collapsed="false" customWidth="true" hidden="false" outlineLevel="0" max="4" min="3" style="1" width="11"/>
    <col collapsed="false" customWidth="true" hidden="false" outlineLevel="0" max="5" min="5" style="1" width="24"/>
    <col collapsed="false" customWidth="true" hidden="false" outlineLevel="0" max="6" min="6" style="1" width="55"/>
  </cols>
  <sheetData>
    <row r="1" customFormat="false" ht="15" hidden="false" customHeight="true" outlineLevel="0" collapsed="false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</row>
    <row r="2" customFormat="false" ht="26.25" hidden="false" customHeight="true" outlineLevel="0" collapsed="false">
      <c r="A2" s="8" t="s">
        <v>22</v>
      </c>
      <c r="B2" s="8" t="s">
        <v>23</v>
      </c>
      <c r="C2" s="8" t="s">
        <v>24</v>
      </c>
      <c r="D2" s="8" t="s">
        <v>24</v>
      </c>
      <c r="E2" s="8" t="s">
        <v>25</v>
      </c>
      <c r="F2" s="8" t="s">
        <v>26</v>
      </c>
    </row>
    <row r="3" customFormat="false" ht="26.25" hidden="false" customHeight="true" outlineLevel="0" collapsed="false">
      <c r="A3" s="8" t="s">
        <v>27</v>
      </c>
      <c r="B3" s="8" t="s">
        <v>28</v>
      </c>
      <c r="C3" s="8" t="s">
        <v>29</v>
      </c>
      <c r="D3" s="8" t="s">
        <v>24</v>
      </c>
      <c r="E3" s="8" t="s">
        <v>30</v>
      </c>
      <c r="F3" s="8" t="s">
        <v>31</v>
      </c>
    </row>
    <row r="4" customFormat="false" ht="26.25" hidden="false" customHeight="true" outlineLevel="0" collapsed="false">
      <c r="A4" s="8" t="s">
        <v>32</v>
      </c>
      <c r="B4" s="8" t="s">
        <v>33</v>
      </c>
      <c r="C4" s="8" t="s">
        <v>24</v>
      </c>
      <c r="D4" s="8" t="s">
        <v>29</v>
      </c>
      <c r="E4" s="8" t="s">
        <v>34</v>
      </c>
      <c r="F4" s="8" t="s">
        <v>35</v>
      </c>
    </row>
    <row r="5" customFormat="false" ht="15" hidden="false" customHeight="true" outlineLevel="0" collapsed="false">
      <c r="A5" s="8" t="s">
        <v>36</v>
      </c>
      <c r="B5" s="8" t="s">
        <v>37</v>
      </c>
      <c r="C5" s="8" t="s">
        <v>24</v>
      </c>
      <c r="D5" s="8" t="s">
        <v>38</v>
      </c>
      <c r="E5" s="8" t="s">
        <v>39</v>
      </c>
      <c r="F5" s="8" t="s">
        <v>40</v>
      </c>
    </row>
    <row r="6" customFormat="false" ht="26.25" hidden="false" customHeight="true" outlineLevel="0" collapsed="false">
      <c r="A6" s="8" t="s">
        <v>41</v>
      </c>
      <c r="B6" s="8" t="s">
        <v>42</v>
      </c>
      <c r="C6" s="8" t="s">
        <v>29</v>
      </c>
      <c r="D6" s="8" t="s">
        <v>24</v>
      </c>
      <c r="E6" s="8" t="s">
        <v>30</v>
      </c>
      <c r="F6" s="8" t="s">
        <v>43</v>
      </c>
    </row>
    <row r="7" customFormat="false" ht="15" hidden="false" customHeight="true" outlineLevel="0" collapsed="false">
      <c r="A7" s="8" t="s">
        <v>44</v>
      </c>
      <c r="B7" s="8" t="s">
        <v>45</v>
      </c>
      <c r="C7" s="8" t="s">
        <v>24</v>
      </c>
      <c r="D7" s="8" t="s">
        <v>38</v>
      </c>
      <c r="E7" s="8" t="s">
        <v>46</v>
      </c>
      <c r="F7" s="8" t="s">
        <v>47</v>
      </c>
    </row>
  </sheetData>
  <dataValidations count="2">
    <dataValidation allowBlank="true" errorStyle="stop" operator="between" showDropDown="false" showErrorMessage="false" showInputMessage="false" sqref="C2:C200" type="list">
      <formula1>"High,Medium,Low"</formula1>
      <formula2>0</formula2>
    </dataValidation>
    <dataValidation allowBlank="true" errorStyle="stop" operator="between" showDropDown="false" showErrorMessage="false" showInputMessage="false" sqref="D2:D200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5"/>
    <col collapsed="false" customWidth="true" hidden="false" outlineLevel="0" max="3" min="3" style="1" width="70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22"/>
  </cols>
  <sheetData>
    <row r="1" customFormat="false" ht="26.25" hidden="false" customHeight="true" outlineLevel="0" collapsed="false">
      <c r="A1" s="7" t="s">
        <v>48</v>
      </c>
      <c r="B1" s="7" t="s">
        <v>49</v>
      </c>
      <c r="C1" s="7" t="s">
        <v>50</v>
      </c>
      <c r="D1" s="7" t="s">
        <v>51</v>
      </c>
      <c r="E1" s="7" t="s">
        <v>52</v>
      </c>
      <c r="F1" s="7" t="s">
        <v>53</v>
      </c>
    </row>
    <row r="2" customFormat="false" ht="26.25" hidden="false" customHeight="true" outlineLevel="0" collapsed="false">
      <c r="A2" s="8" t="s">
        <v>54</v>
      </c>
      <c r="B2" s="8" t="s">
        <v>55</v>
      </c>
      <c r="C2" s="8" t="s">
        <v>56</v>
      </c>
      <c r="D2" s="8" t="s">
        <v>57</v>
      </c>
      <c r="E2" s="8" t="s">
        <v>58</v>
      </c>
      <c r="F2" s="8" t="s">
        <v>59</v>
      </c>
    </row>
    <row r="3" customFormat="false" ht="15" hidden="false" customHeight="true" outlineLevel="0" collapsed="false">
      <c r="A3" s="8" t="s">
        <v>60</v>
      </c>
      <c r="B3" s="8" t="s">
        <v>61</v>
      </c>
      <c r="C3" s="8" t="s">
        <v>62</v>
      </c>
      <c r="D3" s="8" t="s">
        <v>57</v>
      </c>
      <c r="E3" s="8" t="s">
        <v>63</v>
      </c>
      <c r="F3" s="8" t="s">
        <v>64</v>
      </c>
    </row>
    <row r="4" customFormat="false" ht="26.25" hidden="false" customHeight="true" outlineLevel="0" collapsed="false">
      <c r="A4" s="8" t="s">
        <v>65</v>
      </c>
      <c r="B4" s="8" t="s">
        <v>61</v>
      </c>
      <c r="C4" s="8" t="s">
        <v>66</v>
      </c>
      <c r="D4" s="8" t="s">
        <v>57</v>
      </c>
      <c r="E4" s="8" t="s">
        <v>63</v>
      </c>
      <c r="F4" s="8" t="s">
        <v>64</v>
      </c>
    </row>
    <row r="5" customFormat="false" ht="26.25" hidden="false" customHeight="true" outlineLevel="0" collapsed="false">
      <c r="A5" s="8" t="s">
        <v>67</v>
      </c>
      <c r="B5" s="8" t="s">
        <v>61</v>
      </c>
      <c r="C5" s="8" t="s">
        <v>68</v>
      </c>
      <c r="D5" s="8" t="s">
        <v>69</v>
      </c>
      <c r="E5" s="8" t="s">
        <v>70</v>
      </c>
      <c r="F5" s="8" t="s">
        <v>64</v>
      </c>
    </row>
    <row r="6" customFormat="false" ht="26.25" hidden="false" customHeight="true" outlineLevel="0" collapsed="false">
      <c r="A6" s="8" t="s">
        <v>71</v>
      </c>
      <c r="B6" s="8" t="s">
        <v>61</v>
      </c>
      <c r="C6" s="8" t="s">
        <v>72</v>
      </c>
      <c r="D6" s="8" t="s">
        <v>57</v>
      </c>
      <c r="E6" s="8" t="s">
        <v>58</v>
      </c>
      <c r="F6" s="8" t="s">
        <v>73</v>
      </c>
    </row>
    <row r="7" customFormat="false" ht="26.25" hidden="false" customHeight="true" outlineLevel="0" collapsed="false">
      <c r="A7" s="8" t="s">
        <v>74</v>
      </c>
      <c r="B7" s="8" t="s">
        <v>61</v>
      </c>
      <c r="C7" s="8" t="s">
        <v>75</v>
      </c>
      <c r="D7" s="8" t="s">
        <v>57</v>
      </c>
      <c r="E7" s="8" t="s">
        <v>58</v>
      </c>
      <c r="F7" s="8" t="s">
        <v>76</v>
      </c>
    </row>
    <row r="8" customFormat="false" ht="15" hidden="false" customHeight="true" outlineLevel="0" collapsed="false">
      <c r="A8" s="8" t="s">
        <v>77</v>
      </c>
      <c r="B8" s="8" t="s">
        <v>61</v>
      </c>
      <c r="C8" s="8" t="s">
        <v>78</v>
      </c>
      <c r="D8" s="8" t="s">
        <v>79</v>
      </c>
      <c r="E8" s="8" t="s">
        <v>58</v>
      </c>
      <c r="F8" s="8" t="s">
        <v>80</v>
      </c>
    </row>
    <row r="9" customFormat="false" ht="15" hidden="false" customHeight="true" outlineLevel="0" collapsed="false">
      <c r="A9" s="8" t="s">
        <v>81</v>
      </c>
      <c r="B9" s="8" t="s">
        <v>82</v>
      </c>
      <c r="C9" s="8" t="s">
        <v>83</v>
      </c>
      <c r="D9" s="8" t="s">
        <v>57</v>
      </c>
      <c r="E9" s="8" t="s">
        <v>84</v>
      </c>
      <c r="F9" s="8" t="s">
        <v>85</v>
      </c>
    </row>
    <row r="10" customFormat="false" ht="15" hidden="false" customHeight="true" outlineLevel="0" collapsed="false">
      <c r="A10" s="8" t="s">
        <v>86</v>
      </c>
      <c r="B10" s="8" t="s">
        <v>82</v>
      </c>
      <c r="C10" s="8" t="s">
        <v>87</v>
      </c>
      <c r="D10" s="8" t="s">
        <v>69</v>
      </c>
      <c r="E10" s="8" t="s">
        <v>84</v>
      </c>
      <c r="F10" s="8" t="s">
        <v>88</v>
      </c>
    </row>
    <row r="11" customFormat="false" ht="26.25" hidden="false" customHeight="true" outlineLevel="0" collapsed="false">
      <c r="A11" s="8" t="s">
        <v>89</v>
      </c>
      <c r="B11" s="8" t="s">
        <v>82</v>
      </c>
      <c r="C11" s="8" t="s">
        <v>90</v>
      </c>
      <c r="D11" s="8" t="s">
        <v>57</v>
      </c>
      <c r="E11" s="8" t="s">
        <v>84</v>
      </c>
      <c r="F11" s="8" t="s">
        <v>91</v>
      </c>
    </row>
    <row r="12" customFormat="false" ht="15" hidden="false" customHeight="true" outlineLevel="0" collapsed="false">
      <c r="A12" s="8" t="s">
        <v>92</v>
      </c>
      <c r="B12" s="8" t="s">
        <v>93</v>
      </c>
      <c r="C12" s="8" t="s">
        <v>94</v>
      </c>
      <c r="D12" s="8" t="s">
        <v>95</v>
      </c>
      <c r="E12" s="8" t="s">
        <v>46</v>
      </c>
      <c r="F12" s="8" t="s">
        <v>96</v>
      </c>
    </row>
    <row r="13" customFormat="false" ht="15" hidden="false" customHeight="true" outlineLevel="0" collapsed="false">
      <c r="A13" s="8" t="s">
        <v>97</v>
      </c>
      <c r="B13" s="8" t="s">
        <v>93</v>
      </c>
      <c r="C13" s="8" t="s">
        <v>98</v>
      </c>
      <c r="D13" s="8" t="s">
        <v>95</v>
      </c>
      <c r="E13" s="8" t="s">
        <v>46</v>
      </c>
      <c r="F13" s="8" t="s">
        <v>96</v>
      </c>
    </row>
  </sheetData>
  <dataValidations count="2">
    <dataValidation allowBlank="true" errorStyle="stop" operator="between" showDropDown="false" showErrorMessage="false" showInputMessage="false" sqref="B2:B200" type="list">
      <formula1>"Business,Functional,Non-functional,Out of scope"</formula1>
      <formula2>0</formula2>
    </dataValidation>
    <dataValidation allowBlank="true" errorStyle="stop" operator="between" showDropDown="false" showErrorMessage="false" showInputMessage="false" sqref="D2:D200" type="list">
      <formula1>"Must,Should,Could,Won't"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4" min="3" style="1" width="34"/>
    <col collapsed="false" customWidth="true" hidden="false" outlineLevel="0" max="5" min="5" style="1" width="60"/>
    <col collapsed="false" customWidth="true" hidden="false" outlineLevel="0" max="6" min="6" style="1" width="16"/>
  </cols>
  <sheetData>
    <row r="1" customFormat="false" ht="26.25" hidden="false" customHeight="true" outlineLevel="0" collapsed="false">
      <c r="A1" s="7" t="s">
        <v>99</v>
      </c>
      <c r="B1" s="7" t="s">
        <v>100</v>
      </c>
      <c r="C1" s="7" t="s">
        <v>101</v>
      </c>
      <c r="D1" s="7" t="s">
        <v>102</v>
      </c>
      <c r="E1" s="7" t="s">
        <v>103</v>
      </c>
      <c r="F1" s="7" t="s">
        <v>104</v>
      </c>
    </row>
    <row r="2" customFormat="false" ht="39" hidden="false" customHeight="true" outlineLevel="0" collapsed="false">
      <c r="A2" s="8" t="s">
        <v>105</v>
      </c>
      <c r="B2" s="8" t="s">
        <v>106</v>
      </c>
      <c r="C2" s="8" t="s">
        <v>107</v>
      </c>
      <c r="D2" s="8" t="s">
        <v>108</v>
      </c>
      <c r="E2" s="8" t="s">
        <v>109</v>
      </c>
      <c r="F2" s="8" t="s">
        <v>60</v>
      </c>
    </row>
    <row r="3" customFormat="false" ht="39" hidden="false" customHeight="true" outlineLevel="0" collapsed="false">
      <c r="A3" s="8" t="s">
        <v>110</v>
      </c>
      <c r="B3" s="8" t="s">
        <v>106</v>
      </c>
      <c r="C3" s="8" t="s">
        <v>111</v>
      </c>
      <c r="D3" s="8" t="s">
        <v>112</v>
      </c>
      <c r="E3" s="8" t="s">
        <v>113</v>
      </c>
      <c r="F3" s="8" t="s">
        <v>65</v>
      </c>
    </row>
    <row r="4" customFormat="false" ht="51.75" hidden="false" customHeight="true" outlineLevel="0" collapsed="false">
      <c r="A4" s="8" t="s">
        <v>114</v>
      </c>
      <c r="B4" s="8" t="s">
        <v>106</v>
      </c>
      <c r="C4" s="8" t="s">
        <v>115</v>
      </c>
      <c r="D4" s="8" t="s">
        <v>116</v>
      </c>
      <c r="E4" s="8" t="s">
        <v>117</v>
      </c>
      <c r="F4" s="8" t="s">
        <v>67</v>
      </c>
    </row>
    <row r="5" customFormat="false" ht="39" hidden="false" customHeight="true" outlineLevel="0" collapsed="false">
      <c r="A5" s="8" t="s">
        <v>118</v>
      </c>
      <c r="B5" s="8" t="s">
        <v>106</v>
      </c>
      <c r="C5" s="8" t="s">
        <v>119</v>
      </c>
      <c r="D5" s="8" t="s">
        <v>120</v>
      </c>
      <c r="E5" s="8" t="s">
        <v>121</v>
      </c>
      <c r="F5" s="8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2"/>
    <col collapsed="false" customWidth="true" hidden="false" outlineLevel="0" max="3" min="3" style="1" width="28"/>
    <col collapsed="false" customWidth="true" hidden="false" outlineLevel="0" max="4" min="4" style="1" width="14"/>
    <col collapsed="false" customWidth="true" hidden="false" outlineLevel="0" max="5" min="5" style="1" width="36"/>
    <col collapsed="false" customWidth="true" hidden="false" outlineLevel="0" max="6" min="6" style="1" width="22"/>
  </cols>
  <sheetData>
    <row r="1" customFormat="false" ht="15" hidden="false" customHeight="true" outlineLevel="0" collapsed="false">
      <c r="A1" s="7" t="s">
        <v>123</v>
      </c>
      <c r="B1" s="7" t="s">
        <v>124</v>
      </c>
      <c r="C1" s="7" t="s">
        <v>125</v>
      </c>
      <c r="D1" s="7" t="s">
        <v>126</v>
      </c>
      <c r="E1" s="7" t="s">
        <v>127</v>
      </c>
      <c r="F1" s="7" t="s">
        <v>128</v>
      </c>
    </row>
    <row r="2" customFormat="false" ht="26.25" hidden="false" customHeight="true" outlineLevel="0" collapsed="false">
      <c r="A2" s="8" t="s">
        <v>129</v>
      </c>
      <c r="B2" s="8" t="s">
        <v>130</v>
      </c>
      <c r="C2" s="8" t="s">
        <v>131</v>
      </c>
      <c r="D2" s="8" t="s">
        <v>132</v>
      </c>
      <c r="E2" s="8" t="s">
        <v>133</v>
      </c>
      <c r="F2" s="8" t="s">
        <v>134</v>
      </c>
    </row>
    <row r="3" customFormat="false" ht="26.25" hidden="false" customHeight="true" outlineLevel="0" collapsed="false">
      <c r="A3" s="8" t="s">
        <v>135</v>
      </c>
      <c r="B3" s="8" t="s">
        <v>136</v>
      </c>
      <c r="C3" s="8" t="s">
        <v>137</v>
      </c>
      <c r="D3" s="8" t="s">
        <v>132</v>
      </c>
      <c r="E3" s="8" t="s">
        <v>138</v>
      </c>
      <c r="F3" s="8" t="s">
        <v>134</v>
      </c>
    </row>
    <row r="4" customFormat="false" ht="26.25" hidden="false" customHeight="true" outlineLevel="0" collapsed="false">
      <c r="A4" s="8" t="s">
        <v>139</v>
      </c>
      <c r="B4" s="8" t="s">
        <v>140</v>
      </c>
      <c r="C4" s="8" t="s">
        <v>137</v>
      </c>
      <c r="D4" s="8" t="s">
        <v>132</v>
      </c>
      <c r="E4" s="8" t="s">
        <v>141</v>
      </c>
      <c r="F4" s="8" t="s">
        <v>134</v>
      </c>
    </row>
    <row r="5" customFormat="false" ht="26.25" hidden="false" customHeight="true" outlineLevel="0" collapsed="false">
      <c r="A5" s="8" t="s">
        <v>142</v>
      </c>
      <c r="B5" s="8" t="s">
        <v>143</v>
      </c>
      <c r="C5" s="8" t="s">
        <v>144</v>
      </c>
      <c r="D5" s="8" t="s">
        <v>132</v>
      </c>
      <c r="E5" s="8" t="s">
        <v>145</v>
      </c>
      <c r="F5" s="8" t="s">
        <v>134</v>
      </c>
    </row>
    <row r="6" customFormat="false" ht="15" hidden="false" customHeight="true" outlineLevel="0" collapsed="false">
      <c r="A6" s="8" t="s">
        <v>146</v>
      </c>
      <c r="B6" s="8" t="s">
        <v>147</v>
      </c>
      <c r="C6" s="8" t="s">
        <v>144</v>
      </c>
      <c r="D6" s="8" t="s">
        <v>132</v>
      </c>
      <c r="E6" s="8" t="s">
        <v>148</v>
      </c>
      <c r="F6" s="8" t="s">
        <v>134</v>
      </c>
    </row>
    <row r="7" customFormat="false" ht="26.85" hidden="false" customHeight="false" outlineLevel="0" collapsed="false">
      <c r="A7" s="8" t="s">
        <v>149</v>
      </c>
      <c r="B7" s="8" t="s">
        <v>150</v>
      </c>
      <c r="C7" s="8" t="s">
        <v>144</v>
      </c>
      <c r="D7" s="8" t="s">
        <v>132</v>
      </c>
      <c r="E7" s="8" t="s">
        <v>151</v>
      </c>
      <c r="F7" s="8" t="s">
        <v>134</v>
      </c>
    </row>
  </sheetData>
  <dataValidations count="1">
    <dataValidation allowBlank="true" errorStyle="stop" operator="between" showDropDown="false" showErrorMessage="false" showInputMessage="false" sqref="F2:F200" type="list">
      <formula1>"To confirm in profiling,Confirmed,Not available,Available in O*NET file"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5"/>
    <col collapsed="false" customWidth="true" hidden="false" outlineLevel="0" max="3" min="3" style="1" width="16"/>
    <col collapsed="false" customWidth="true" hidden="false" outlineLevel="0" max="4" min="4" style="1" width="50"/>
    <col collapsed="false" customWidth="true" hidden="false" outlineLevel="0" max="5" min="5" style="1" width="30"/>
  </cols>
  <sheetData>
    <row r="1" customFormat="false" ht="15" hidden="false" customHeight="true" outlineLevel="0" collapsed="false">
      <c r="A1" s="7" t="s">
        <v>48</v>
      </c>
      <c r="B1" s="7" t="s">
        <v>152</v>
      </c>
      <c r="C1" s="7" t="s">
        <v>128</v>
      </c>
      <c r="D1" s="7" t="s">
        <v>153</v>
      </c>
      <c r="E1" s="7" t="s">
        <v>154</v>
      </c>
    </row>
    <row r="2" customFormat="false" ht="26.25" hidden="false" customHeight="true" outlineLevel="0" collapsed="false">
      <c r="A2" s="8" t="s">
        <v>155</v>
      </c>
      <c r="B2" s="8" t="s">
        <v>156</v>
      </c>
      <c r="C2" s="8" t="s">
        <v>157</v>
      </c>
      <c r="D2" s="8" t="s">
        <v>158</v>
      </c>
      <c r="E2" s="8" t="s">
        <v>159</v>
      </c>
    </row>
    <row r="3" customFormat="false" ht="15" hidden="false" customHeight="true" outlineLevel="0" collapsed="false">
      <c r="A3" s="8" t="s">
        <v>160</v>
      </c>
      <c r="B3" s="8" t="s">
        <v>161</v>
      </c>
      <c r="C3" s="8" t="s">
        <v>157</v>
      </c>
      <c r="D3" s="8" t="s">
        <v>162</v>
      </c>
      <c r="E3" s="8" t="s">
        <v>163</v>
      </c>
    </row>
    <row r="4" customFormat="false" ht="26.25" hidden="false" customHeight="true" outlineLevel="0" collapsed="false">
      <c r="A4" s="8" t="s">
        <v>164</v>
      </c>
      <c r="B4" s="8" t="s">
        <v>165</v>
      </c>
      <c r="C4" s="8" t="s">
        <v>157</v>
      </c>
      <c r="D4" s="8" t="s">
        <v>166</v>
      </c>
      <c r="E4" s="8" t="s">
        <v>167</v>
      </c>
    </row>
    <row r="5" customFormat="false" ht="26.25" hidden="false" customHeight="true" outlineLevel="0" collapsed="false">
      <c r="A5" s="8" t="s">
        <v>168</v>
      </c>
      <c r="B5" s="8" t="s">
        <v>169</v>
      </c>
      <c r="C5" s="8" t="s">
        <v>170</v>
      </c>
      <c r="D5" s="8" t="s">
        <v>171</v>
      </c>
      <c r="E5" s="8" t="s">
        <v>172</v>
      </c>
    </row>
    <row r="6" customFormat="false" ht="15" hidden="false" customHeight="true" outlineLevel="0" collapsed="false">
      <c r="A6" s="8" t="s">
        <v>173</v>
      </c>
      <c r="B6" s="8" t="s">
        <v>174</v>
      </c>
      <c r="C6" s="8" t="s">
        <v>157</v>
      </c>
      <c r="D6" s="8" t="s">
        <v>175</v>
      </c>
      <c r="E6" s="8" t="s">
        <v>176</v>
      </c>
    </row>
    <row r="7" customFormat="false" ht="39.55" hidden="false" customHeight="false" outlineLevel="0" collapsed="false">
      <c r="A7" s="8" t="s">
        <v>177</v>
      </c>
      <c r="B7" s="8" t="s">
        <v>178</v>
      </c>
      <c r="C7" s="8" t="s">
        <v>179</v>
      </c>
      <c r="D7" s="8" t="s">
        <v>180</v>
      </c>
      <c r="E7" s="8" t="s">
        <v>181</v>
      </c>
    </row>
    <row r="8" customFormat="false" ht="26.85" hidden="false" customHeight="false" outlineLevel="0" collapsed="false">
      <c r="A8" s="8" t="s">
        <v>182</v>
      </c>
      <c r="B8" s="8" t="s">
        <v>183</v>
      </c>
      <c r="C8" s="8" t="s">
        <v>179</v>
      </c>
      <c r="D8" s="8" t="s">
        <v>184</v>
      </c>
      <c r="E8" s="8" t="s">
        <v>185</v>
      </c>
    </row>
    <row r="9" customFormat="false" ht="39.55" hidden="false" customHeight="false" outlineLevel="0" collapsed="false">
      <c r="A9" s="8" t="s">
        <v>186</v>
      </c>
      <c r="B9" s="8" t="s">
        <v>187</v>
      </c>
      <c r="C9" s="8" t="s">
        <v>188</v>
      </c>
      <c r="D9" s="8" t="s">
        <v>189</v>
      </c>
      <c r="E9" s="8" t="s">
        <v>190</v>
      </c>
    </row>
    <row r="10" customFormat="false" ht="26.85" hidden="false" customHeight="false" outlineLevel="0" collapsed="false">
      <c r="A10" s="8" t="s">
        <v>191</v>
      </c>
      <c r="B10" s="8" t="s">
        <v>192</v>
      </c>
      <c r="C10" s="8" t="s">
        <v>179</v>
      </c>
      <c r="D10" s="8" t="s">
        <v>193</v>
      </c>
      <c r="E10" s="8" t="s">
        <v>194</v>
      </c>
    </row>
  </sheetData>
  <dataValidations count="1">
    <dataValidation allowBlank="true" errorStyle="stop" operator="between" showDropDown="false" showErrorMessage="false" showInputMessage="false" sqref="C2:C200" type="list">
      <formula1>"Unvalidated,Partly checked,Validated,Decided,Rejected"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8"/>
    <col collapsed="false" customWidth="true" hidden="false" outlineLevel="0" max="3" min="3" style="1" width="26"/>
    <col collapsed="false" customWidth="true" hidden="false" outlineLevel="0" max="4" min="4" style="1" width="55"/>
    <col collapsed="false" customWidth="true" hidden="false" outlineLevel="0" max="5" min="5" style="1" width="14"/>
    <col collapsed="false" customWidth="true" hidden="false" outlineLevel="0" max="6" min="6" style="1" width="16"/>
  </cols>
  <sheetData>
    <row r="1" customFormat="false" ht="26.25" hidden="false" customHeight="true" outlineLevel="0" collapsed="false">
      <c r="A1" s="7" t="s">
        <v>195</v>
      </c>
      <c r="B1" s="7" t="s">
        <v>196</v>
      </c>
      <c r="C1" s="7" t="s">
        <v>197</v>
      </c>
      <c r="D1" s="7" t="s">
        <v>198</v>
      </c>
      <c r="E1" s="7" t="s">
        <v>199</v>
      </c>
      <c r="F1" s="9" t="s">
        <v>200</v>
      </c>
    </row>
    <row r="2" customFormat="false" ht="15" hidden="false" customHeight="true" outlineLevel="0" collapsed="false">
      <c r="A2" s="8" t="s">
        <v>54</v>
      </c>
      <c r="B2" s="8" t="s">
        <v>144</v>
      </c>
      <c r="C2" s="8" t="s">
        <v>201</v>
      </c>
      <c r="D2" s="8" t="s">
        <v>202</v>
      </c>
      <c r="E2" s="10" t="s">
        <v>203</v>
      </c>
      <c r="F2" s="6" t="str">
        <f aca="false">IFERROR(INDEX(Requirements!$D:$D,MATCH(A2,Requirements!$A:$A,0)),"Missing")</f>
        <v>Must</v>
      </c>
    </row>
    <row r="3" customFormat="false" ht="15" hidden="false" customHeight="true" outlineLevel="0" collapsed="false">
      <c r="A3" s="8" t="s">
        <v>60</v>
      </c>
      <c r="B3" s="8" t="s">
        <v>131</v>
      </c>
      <c r="C3" s="8" t="s">
        <v>204</v>
      </c>
      <c r="D3" s="8" t="s">
        <v>205</v>
      </c>
      <c r="E3" s="10" t="s">
        <v>203</v>
      </c>
      <c r="F3" s="6" t="str">
        <f aca="false">IFERROR(INDEX(Requirements!$D:$D,MATCH(A3,Requirements!$A:$A,0)),"Missing")</f>
        <v>Must</v>
      </c>
    </row>
    <row r="4" customFormat="false" ht="15" hidden="false" customHeight="true" outlineLevel="0" collapsed="false">
      <c r="A4" s="8" t="s">
        <v>65</v>
      </c>
      <c r="B4" s="8" t="s">
        <v>206</v>
      </c>
      <c r="C4" s="8" t="s">
        <v>207</v>
      </c>
      <c r="D4" s="8" t="s">
        <v>208</v>
      </c>
      <c r="E4" s="10" t="s">
        <v>203</v>
      </c>
      <c r="F4" s="6" t="str">
        <f aca="false">IFERROR(INDEX(Requirements!$D:$D,MATCH(A4,Requirements!$A:$A,0)),"Missing")</f>
        <v>Must</v>
      </c>
    </row>
    <row r="5" customFormat="false" ht="15" hidden="false" customHeight="true" outlineLevel="0" collapsed="false">
      <c r="A5" s="8" t="s">
        <v>67</v>
      </c>
      <c r="B5" s="8" t="s">
        <v>137</v>
      </c>
      <c r="C5" s="8" t="s">
        <v>207</v>
      </c>
      <c r="D5" s="8" t="s">
        <v>209</v>
      </c>
      <c r="E5" s="10" t="s">
        <v>203</v>
      </c>
      <c r="F5" s="6" t="str">
        <f aca="false">IFERROR(INDEX(Requirements!$D:$D,MATCH(A5,Requirements!$A:$A,0)),"Missing")</f>
        <v>Should</v>
      </c>
    </row>
    <row r="6" customFormat="false" ht="15" hidden="false" customHeight="true" outlineLevel="0" collapsed="false">
      <c r="A6" s="8" t="s">
        <v>71</v>
      </c>
      <c r="B6" s="8" t="s">
        <v>144</v>
      </c>
      <c r="C6" s="8" t="s">
        <v>201</v>
      </c>
      <c r="D6" s="8" t="s">
        <v>210</v>
      </c>
      <c r="E6" s="10" t="s">
        <v>203</v>
      </c>
      <c r="F6" s="6" t="str">
        <f aca="false">IFERROR(INDEX(Requirements!$D:$D,MATCH(A6,Requirements!$A:$A,0)),"Missing")</f>
        <v>Must</v>
      </c>
    </row>
    <row r="7" customFormat="false" ht="15" hidden="false" customHeight="true" outlineLevel="0" collapsed="false">
      <c r="A7" s="8" t="s">
        <v>74</v>
      </c>
      <c r="B7" s="8" t="s">
        <v>46</v>
      </c>
      <c r="C7" s="8" t="s">
        <v>201</v>
      </c>
      <c r="D7" s="8" t="s">
        <v>211</v>
      </c>
      <c r="E7" s="10" t="s">
        <v>203</v>
      </c>
      <c r="F7" s="6" t="str">
        <f aca="false">IFERROR(INDEX(Requirements!$D:$D,MATCH(A7,Requirements!$A:$A,0)),"Missing")</f>
        <v>Must</v>
      </c>
    </row>
    <row r="8" customFormat="false" ht="15" hidden="false" customHeight="true" outlineLevel="0" collapsed="false">
      <c r="A8" s="8" t="s">
        <v>77</v>
      </c>
      <c r="B8" s="8" t="s">
        <v>46</v>
      </c>
      <c r="C8" s="8" t="s">
        <v>201</v>
      </c>
      <c r="D8" s="8" t="s">
        <v>212</v>
      </c>
      <c r="E8" s="10" t="s">
        <v>203</v>
      </c>
      <c r="F8" s="6" t="str">
        <f aca="false">IFERROR(INDEX(Requirements!$D:$D,MATCH(A8,Requirements!$A:$A,0)),"Missing")</f>
        <v>Could</v>
      </c>
    </row>
    <row r="9" customFormat="false" ht="15" hidden="false" customHeight="true" outlineLevel="0" collapsed="false">
      <c r="A9" s="8" t="s">
        <v>81</v>
      </c>
      <c r="B9" s="8" t="s">
        <v>213</v>
      </c>
      <c r="C9" s="8" t="s">
        <v>214</v>
      </c>
      <c r="D9" s="8" t="s">
        <v>215</v>
      </c>
      <c r="E9" s="10" t="s">
        <v>203</v>
      </c>
      <c r="F9" s="6" t="str">
        <f aca="false">IFERROR(INDEX(Requirements!$D:$D,MATCH(A9,Requirements!$A:$A,0)),"Missing")</f>
        <v>Must</v>
      </c>
    </row>
    <row r="10" customFormat="false" ht="15" hidden="false" customHeight="true" outlineLevel="0" collapsed="false">
      <c r="A10" s="8" t="s">
        <v>86</v>
      </c>
      <c r="B10" s="8" t="s">
        <v>216</v>
      </c>
      <c r="C10" s="8" t="s">
        <v>46</v>
      </c>
      <c r="D10" s="8" t="s">
        <v>217</v>
      </c>
      <c r="E10" s="10" t="s">
        <v>203</v>
      </c>
      <c r="F10" s="6" t="str">
        <f aca="false">IFERROR(INDEX(Requirements!$D:$D,MATCH(A10,Requirements!$A:$A,0)),"Missing")</f>
        <v>Should</v>
      </c>
    </row>
    <row r="11" customFormat="false" ht="15" hidden="false" customHeight="true" outlineLevel="0" collapsed="false">
      <c r="A11" s="8" t="s">
        <v>89</v>
      </c>
      <c r="B11" s="8" t="s">
        <v>46</v>
      </c>
      <c r="C11" s="8" t="s">
        <v>218</v>
      </c>
      <c r="D11" s="8" t="s">
        <v>219</v>
      </c>
      <c r="E11" s="10" t="s">
        <v>203</v>
      </c>
      <c r="F11" s="6" t="str">
        <f aca="false">IFERROR(INDEX(Requirements!$D:$D,MATCH(A11,Requirements!$A:$A,0)),"Missing")</f>
        <v>Must</v>
      </c>
    </row>
  </sheetData>
  <dataValidations count="1">
    <dataValidation allowBlank="true" errorStyle="stop" operator="between" showDropDown="false" showErrorMessage="false" showInputMessage="false" sqref="E2:E200" type="list">
      <formula1>"Not tested,Pass,Fail"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2026-11-01T12:54:24Z</dcterms:created>
  <dc:creator>openpyxl</dc:creator>
  <dc:description/>
  <dc:language>en-US</dc:language>
  <cp:lastModifiedBy/>
  <dcterms:modified xsi:type="dcterms:W3CDTF">2026-11-01T20:09:16Z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